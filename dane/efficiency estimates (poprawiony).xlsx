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dd\Documents\2 IA PW\1-dydaktyka\MI\26L\"/>
    </mc:Choice>
  </mc:AlternateContent>
  <xr:revisionPtr revIDLastSave="4" documentId="8_{C2AA262A-EC4C-4EAE-83D1-39CFB1B43517}" xr6:coauthVersionLast="47" xr6:coauthVersionMax="47" xr10:uidLastSave="{58CD3F44-B4E9-465F-BE0D-790B4C2324AC}"/>
  <bookViews>
    <workbookView xWindow="111" yWindow="3814" windowWidth="18515" windowHeight="10740" tabRatio="678" xr2:uid="{00000000-000D-0000-FFFF-FFFF00000000}"/>
  </bookViews>
  <sheets>
    <sheet name="heat rate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7" l="1"/>
  <c r="J2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S18" i="7"/>
  <c r="U18" i="7" s="1"/>
  <c r="K18" i="7"/>
  <c r="S17" i="7"/>
  <c r="T17" i="7" s="1"/>
  <c r="K17" i="7"/>
  <c r="S16" i="7"/>
  <c r="U16" i="7" s="1"/>
  <c r="K16" i="7"/>
  <c r="S15" i="7"/>
  <c r="U15" i="7" s="1"/>
  <c r="K15" i="7"/>
  <c r="S14" i="7"/>
  <c r="T14" i="7" s="1"/>
  <c r="K14" i="7"/>
  <c r="S13" i="7"/>
  <c r="U13" i="7" s="1"/>
  <c r="K13" i="7"/>
  <c r="S12" i="7"/>
  <c r="T12" i="7" s="1"/>
  <c r="K12" i="7"/>
  <c r="S11" i="7"/>
  <c r="T11" i="7" s="1"/>
  <c r="K11" i="7"/>
  <c r="S10" i="7"/>
  <c r="U10" i="7" s="1"/>
  <c r="K10" i="7"/>
  <c r="S9" i="7"/>
  <c r="T9" i="7" s="1"/>
  <c r="K9" i="7"/>
  <c r="S8" i="7"/>
  <c r="T8" i="7" s="1"/>
  <c r="K8" i="7"/>
  <c r="S7" i="7"/>
  <c r="T7" i="7" s="1"/>
  <c r="K7" i="7"/>
  <c r="S6" i="7"/>
  <c r="U6" i="7" s="1"/>
  <c r="K6" i="7"/>
  <c r="S5" i="7"/>
  <c r="U5" i="7" s="1"/>
  <c r="K5" i="7"/>
  <c r="S4" i="7"/>
  <c r="T4" i="7" s="1"/>
  <c r="K4" i="7"/>
  <c r="S3" i="7"/>
  <c r="T3" i="7" s="1"/>
  <c r="K3" i="7"/>
  <c r="S2" i="7"/>
  <c r="T2" i="7" s="1"/>
  <c r="V8" i="7" l="1"/>
  <c r="T5" i="7"/>
  <c r="V11" i="7"/>
  <c r="U4" i="7"/>
  <c r="U9" i="7"/>
  <c r="T18" i="7"/>
  <c r="V9" i="7"/>
  <c r="U8" i="7"/>
  <c r="V4" i="7"/>
  <c r="V5" i="7"/>
  <c r="V7" i="7"/>
  <c r="U12" i="7"/>
  <c r="T13" i="7"/>
  <c r="V3" i="7"/>
  <c r="V12" i="7"/>
  <c r="V13" i="7"/>
  <c r="U3" i="7"/>
  <c r="V6" i="7"/>
  <c r="U7" i="7"/>
  <c r="V10" i="7"/>
  <c r="U11" i="7"/>
  <c r="U14" i="7"/>
  <c r="U17" i="7"/>
  <c r="T6" i="7"/>
  <c r="T10" i="7"/>
  <c r="V16" i="7"/>
  <c r="J16" i="7"/>
  <c r="V15" i="7"/>
  <c r="J15" i="7"/>
  <c r="T15" i="7"/>
  <c r="J3" i="7"/>
  <c r="J4" i="7"/>
  <c r="J5" i="7"/>
  <c r="J6" i="7"/>
  <c r="J7" i="7"/>
  <c r="J8" i="7"/>
  <c r="J9" i="7"/>
  <c r="J10" i="7"/>
  <c r="J11" i="7"/>
  <c r="J12" i="7"/>
  <c r="J13" i="7"/>
  <c r="T16" i="7"/>
  <c r="V17" i="7"/>
  <c r="J17" i="7"/>
  <c r="V14" i="7"/>
  <c r="J14" i="7"/>
  <c r="V18" i="7"/>
  <c r="J18" i="7"/>
  <c r="V2" i="7"/>
  <c r="U2" i="7"/>
  <c r="W2" i="7" s="1"/>
  <c r="W9" i="7" l="1"/>
  <c r="W4" i="7"/>
  <c r="W11" i="7"/>
  <c r="W3" i="7"/>
  <c r="W13" i="7"/>
  <c r="W5" i="7"/>
  <c r="W8" i="7"/>
  <c r="W7" i="7"/>
  <c r="W6" i="7"/>
  <c r="W10" i="7"/>
  <c r="W12" i="7"/>
  <c r="W17" i="7"/>
  <c r="W15" i="7"/>
  <c r="W14" i="7"/>
  <c r="W18" i="7"/>
  <c r="W16" i="7"/>
</calcChain>
</file>

<file path=xl/sharedStrings.xml><?xml version="1.0" encoding="utf-8"?>
<sst xmlns="http://schemas.openxmlformats.org/spreadsheetml/2006/main" count="28" uniqueCount="28">
  <si>
    <t>Siegert</t>
  </si>
  <si>
    <t>MS steam flow</t>
  </si>
  <si>
    <t>oxygen</t>
  </si>
  <si>
    <t>flue gas temp</t>
  </si>
  <si>
    <t>Ambient temp</t>
  </si>
  <si>
    <t>dT</t>
  </si>
  <si>
    <t>CO</t>
  </si>
  <si>
    <t>CO2 calc</t>
  </si>
  <si>
    <t>stack loss</t>
  </si>
  <si>
    <t>CO loss</t>
  </si>
  <si>
    <t>conduction loss</t>
  </si>
  <si>
    <t>UBC in BA</t>
  </si>
  <si>
    <t>UBC in FA</t>
  </si>
  <si>
    <t>ash content</t>
  </si>
  <si>
    <t>TM</t>
  </si>
  <si>
    <t>H2</t>
  </si>
  <si>
    <t>GCV</t>
  </si>
  <si>
    <t>GCV [kJ/kg]</t>
  </si>
  <si>
    <t>LOI in FA</t>
  </si>
  <si>
    <t>LOI in BA</t>
  </si>
  <si>
    <t>wet flue gas loss</t>
  </si>
  <si>
    <t>boiler efficiency</t>
  </si>
  <si>
    <t>CO2max</t>
  </si>
  <si>
    <t xml:space="preserve"> </t>
  </si>
  <si>
    <t>beta</t>
  </si>
  <si>
    <t>A1</t>
  </si>
  <si>
    <t xml:space="preserve">B </t>
  </si>
  <si>
    <t>nominal steam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</si>
</sst>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8"/>
      <color rgb="FFFFFF0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rgb="FFFF0000"/>
      <name val="Calibri"/>
      <family val="2"/>
      <charset val="238"/>
      <scheme val="minor"/>
    </font>
    <font>
      <sz val="8"/>
      <color rgb="FF0070C0"/>
      <name val="Calibri"/>
      <family val="2"/>
      <charset val="238"/>
      <scheme val="minor"/>
    </font>
    <font>
      <sz val="8"/>
      <color theme="5" tint="-0.249977111117893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4" borderId="1" applyNumberFormat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6" fillId="7" borderId="0" xfId="0" applyFont="1" applyFill="1"/>
    <xf numFmtId="0" fontId="6" fillId="0" borderId="0" xfId="0" applyFont="1"/>
    <xf numFmtId="10" fontId="6" fillId="0" borderId="0" xfId="4" applyNumberFormat="1" applyFont="1"/>
    <xf numFmtId="10" fontId="5" fillId="0" borderId="0" xfId="0" applyNumberFormat="1" applyFont="1" applyAlignment="1">
      <alignment horizontal="center"/>
    </xf>
    <xf numFmtId="0" fontId="8" fillId="0" borderId="0" xfId="0" applyFont="1"/>
    <xf numFmtId="164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2" fontId="10" fillId="0" borderId="0" xfId="0" applyNumberFormat="1" applyFont="1"/>
    <xf numFmtId="0" fontId="10" fillId="0" borderId="0" xfId="0" applyFont="1"/>
    <xf numFmtId="1" fontId="10" fillId="0" borderId="0" xfId="0" applyNumberFormat="1" applyFont="1"/>
    <xf numFmtId="0" fontId="11" fillId="0" borderId="0" xfId="0" applyFont="1"/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9" borderId="2" xfId="2" applyFont="1" applyFill="1" applyBorder="1" applyAlignment="1">
      <alignment horizontal="center" vertical="center"/>
    </xf>
    <xf numFmtId="0" fontId="6" fillId="9" borderId="2" xfId="3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9" borderId="2" xfId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0" fontId="8" fillId="0" borderId="0" xfId="4" applyNumberFormat="1" applyFont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12" fillId="0" borderId="0" xfId="0" applyFont="1" applyAlignment="1">
      <alignment horizontal="left"/>
    </xf>
  </cellXfs>
  <cellStyles count="5">
    <cellStyle name="Dobry" xfId="2" builtinId="26"/>
    <cellStyle name="Komórka zaznaczona" xfId="1" builtinId="23"/>
    <cellStyle name="Neutralny" xfId="3" builtinId="28"/>
    <cellStyle name="Normalny" xfId="0" builtinId="0"/>
    <cellStyle name="Procentowy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8"/>
  <sheetViews>
    <sheetView tabSelected="1" workbookViewId="0">
      <selection activeCell="L2" sqref="L2"/>
    </sheetView>
  </sheetViews>
  <sheetFormatPr defaultColWidth="9.140625" defaultRowHeight="10.7"/>
  <cols>
    <col min="1" max="1" width="14.140625" style="5" bestFit="1" customWidth="1"/>
    <col min="2" max="2" width="10.42578125" style="5" bestFit="1" customWidth="1"/>
    <col min="3" max="3" width="10.5703125" style="5" bestFit="1" customWidth="1"/>
    <col min="4" max="4" width="5.7109375" style="5" bestFit="1" customWidth="1"/>
    <col min="5" max="5" width="9.7109375" style="5" bestFit="1" customWidth="1"/>
    <col min="6" max="6" width="6.85546875" style="5" bestFit="1" customWidth="1"/>
    <col min="7" max="8" width="5.28515625" style="5" bestFit="1" customWidth="1"/>
    <col min="9" max="9" width="10.42578125" style="7" bestFit="1" customWidth="1"/>
    <col min="10" max="10" width="7.5703125" style="5" bestFit="1" customWidth="1"/>
    <col min="11" max="11" width="5.85546875" style="5" bestFit="1" customWidth="1"/>
    <col min="12" max="12" width="11.5703125" style="5" bestFit="1" customWidth="1"/>
    <col min="13" max="13" width="7.28515625" style="5" bestFit="1" customWidth="1"/>
    <col min="14" max="14" width="7.140625" style="5" bestFit="1" customWidth="1"/>
    <col min="15" max="15" width="9" style="5" bestFit="1" customWidth="1"/>
    <col min="16" max="17" width="4.42578125" style="5" bestFit="1" customWidth="1"/>
    <col min="18" max="18" width="7" style="5" bestFit="1" customWidth="1"/>
    <col min="19" max="19" width="8.140625" style="5" bestFit="1" customWidth="1"/>
    <col min="20" max="20" width="6.7109375" style="5" bestFit="1" customWidth="1"/>
    <col min="21" max="21" width="6.85546875" style="5" bestFit="1" customWidth="1"/>
    <col min="22" max="22" width="12" style="5" bestFit="1" customWidth="1"/>
    <col min="23" max="23" width="11.7109375" style="5" bestFit="1" customWidth="1"/>
    <col min="24" max="16384" width="9.140625" style="5"/>
  </cols>
  <sheetData>
    <row r="1" spans="1:23" s="22" customFormat="1" ht="21.4">
      <c r="A1" s="25" t="s">
        <v>0</v>
      </c>
      <c r="B1" s="25"/>
      <c r="C1" s="15" t="s">
        <v>1</v>
      </c>
      <c r="D1" s="15" t="s">
        <v>2</v>
      </c>
      <c r="E1" s="15" t="s">
        <v>3</v>
      </c>
      <c r="F1" s="14" t="s">
        <v>4</v>
      </c>
      <c r="G1" s="15" t="s">
        <v>5</v>
      </c>
      <c r="H1" s="15" t="s">
        <v>6</v>
      </c>
      <c r="I1" s="15" t="s">
        <v>7</v>
      </c>
      <c r="J1" s="16" t="s">
        <v>8</v>
      </c>
      <c r="K1" s="16" t="s">
        <v>9</v>
      </c>
      <c r="L1" s="17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16</v>
      </c>
      <c r="S1" s="18" t="s">
        <v>17</v>
      </c>
      <c r="T1" s="19" t="s">
        <v>18</v>
      </c>
      <c r="U1" s="19" t="s">
        <v>19</v>
      </c>
      <c r="V1" s="20" t="s">
        <v>20</v>
      </c>
      <c r="W1" s="21" t="s">
        <v>21</v>
      </c>
    </row>
    <row r="2" spans="1:23" s="2" customFormat="1">
      <c r="A2" s="1" t="s">
        <v>22</v>
      </c>
      <c r="B2" s="1">
        <v>18.5</v>
      </c>
      <c r="C2" s="13">
        <v>350</v>
      </c>
      <c r="D2" s="2">
        <v>3.5030000000000001</v>
      </c>
      <c r="E2" s="2">
        <v>123.36850000000001</v>
      </c>
      <c r="F2" s="9">
        <v>33</v>
      </c>
      <c r="G2" s="2">
        <v>90.368500000000012</v>
      </c>
      <c r="H2" s="8">
        <v>1E-3</v>
      </c>
      <c r="I2" s="6">
        <v>15.406658711217185</v>
      </c>
      <c r="J2" s="3">
        <f>G2*($B$4/I2+$B$5)/100</f>
        <v>3.9885728081494695E-2</v>
      </c>
      <c r="K2" s="3">
        <f>$B$3*H2/(H2+I2)</f>
        <v>4.4782923410528414E-3</v>
      </c>
      <c r="L2" s="3" t="s">
        <v>23</v>
      </c>
      <c r="M2" s="10">
        <v>3.5120454545454547</v>
      </c>
      <c r="N2" s="10">
        <v>0.70079545454545489</v>
      </c>
      <c r="O2" s="8">
        <v>28</v>
      </c>
      <c r="P2" s="11">
        <v>8.6741991806729146</v>
      </c>
      <c r="Q2" s="11">
        <v>3.5810110132746176</v>
      </c>
      <c r="R2" s="12">
        <v>5217.3112279139496</v>
      </c>
      <c r="S2" s="12">
        <f>R2*4.1868</f>
        <v>21843.838649030124</v>
      </c>
      <c r="T2" s="3">
        <f>(0.8*O2*33900/S2)*(N2/(100-N2))/100</f>
        <v>2.4533768522810094E-3</v>
      </c>
      <c r="U2" s="3">
        <f>(0.2*O2*33900/S2)*(M2/(100-M2))/100</f>
        <v>3.1633394213447974E-3</v>
      </c>
      <c r="V2" s="3">
        <f>((((P2+(9*Q2))/100)*((1.88*(E2-25))+2442+(4.2*(F2-25))))/S2)</f>
        <v>4.9819341593829482E-2</v>
      </c>
      <c r="W2" s="4" t="e">
        <f>1-L2-T2-U2-V2-J2-K2</f>
        <v>#VALUE!</v>
      </c>
    </row>
    <row r="3" spans="1:23" s="2" customFormat="1">
      <c r="A3" s="1" t="s">
        <v>24</v>
      </c>
      <c r="B3" s="1">
        <v>69</v>
      </c>
      <c r="C3" s="13">
        <v>120</v>
      </c>
      <c r="D3" s="2">
        <v>3.5030000000000001</v>
      </c>
      <c r="E3" s="2">
        <v>122.83850000000001</v>
      </c>
      <c r="F3" s="9">
        <v>33</v>
      </c>
      <c r="G3" s="2">
        <v>89.83850000000001</v>
      </c>
      <c r="H3" s="8">
        <v>1E-3</v>
      </c>
      <c r="I3" s="6">
        <v>15.406658711217185</v>
      </c>
      <c r="J3" s="3">
        <f t="shared" ref="J3:J18" si="0">G3*($B$4/I3+$B$5)/100</f>
        <v>3.965180325278566E-2</v>
      </c>
      <c r="K3" s="3">
        <f t="shared" ref="K3:K18" si="1">$B$3*H3/(H3+I3)</f>
        <v>4.4782923410528414E-3</v>
      </c>
      <c r="L3" s="3">
        <f>$B$7/C3*SQRT(100/$B$7)/100</f>
        <v>1.5590239111558088E-2</v>
      </c>
      <c r="M3" s="10">
        <v>3.5120454545454547</v>
      </c>
      <c r="N3" s="10">
        <v>0.70079545454545489</v>
      </c>
      <c r="O3" s="8">
        <v>28</v>
      </c>
      <c r="P3" s="11">
        <v>8.6741991806729146</v>
      </c>
      <c r="Q3" s="11">
        <v>3.5810110132746176</v>
      </c>
      <c r="R3" s="12">
        <v>5217.3112279139514</v>
      </c>
      <c r="S3" s="12">
        <f t="shared" ref="S3:S18" si="2">R3*4.1868</f>
        <v>21843.838649030131</v>
      </c>
      <c r="T3" s="3">
        <f t="shared" ref="T3:T18" si="3">(0.8*O3*33900/S3)*(N3/(100-N3))/100</f>
        <v>2.4533768522810085E-3</v>
      </c>
      <c r="U3" s="3">
        <f t="shared" ref="U3:U18" si="4">(0.2*O3*33900/S3)*(M3/(100-M3))/100</f>
        <v>3.1633394213447961E-3</v>
      </c>
      <c r="V3" s="3">
        <f t="shared" ref="V3:V18" si="5">((((P3+(9*Q3))/100)*((1.88*(E3-25))+2442+(4.2*(F3-25))))/S3)</f>
        <v>4.980068367976908E-2</v>
      </c>
      <c r="W3" s="4">
        <f t="shared" ref="W3:W18" si="6">1-L3-T3-U3-V3-J3-K3</f>
        <v>0.8848622653412086</v>
      </c>
    </row>
    <row r="4" spans="1:23" s="2" customFormat="1">
      <c r="A4" s="1" t="s">
        <v>25</v>
      </c>
      <c r="B4" s="1">
        <v>0.68</v>
      </c>
      <c r="C4" s="13">
        <v>100</v>
      </c>
      <c r="D4" s="2">
        <v>3.5030000000000001</v>
      </c>
      <c r="E4" s="2">
        <v>122.30850000000001</v>
      </c>
      <c r="F4" s="9">
        <v>33</v>
      </c>
      <c r="G4" s="2">
        <v>89.308500000000009</v>
      </c>
      <c r="H4" s="8">
        <v>1E-3</v>
      </c>
      <c r="I4" s="6">
        <v>15.406658711217185</v>
      </c>
      <c r="J4" s="3">
        <f t="shared" si="0"/>
        <v>3.9417878424076631E-2</v>
      </c>
      <c r="K4" s="3">
        <f t="shared" si="1"/>
        <v>4.4782923410528414E-3</v>
      </c>
      <c r="L4" s="3">
        <f>$B$7/C4*SQRT(100/$B$7)/100</f>
        <v>1.8708286933869708E-2</v>
      </c>
      <c r="M4" s="10">
        <v>3.5120454545454547</v>
      </c>
      <c r="N4" s="10">
        <v>0.70079545454545489</v>
      </c>
      <c r="O4" s="8">
        <v>28</v>
      </c>
      <c r="P4" s="11">
        <v>8.6741991806729146</v>
      </c>
      <c r="Q4" s="11">
        <v>3.5810110132746176</v>
      </c>
      <c r="R4" s="12">
        <v>5217.3112279139514</v>
      </c>
      <c r="S4" s="12">
        <f t="shared" si="2"/>
        <v>21843.838649030131</v>
      </c>
      <c r="T4" s="3">
        <f t="shared" si="3"/>
        <v>2.4533768522810085E-3</v>
      </c>
      <c r="U4" s="3">
        <f t="shared" si="4"/>
        <v>3.1633394213447961E-3</v>
      </c>
      <c r="V4" s="3">
        <f t="shared" si="5"/>
        <v>4.9782025765708678E-2</v>
      </c>
      <c r="W4" s="4">
        <f t="shared" si="6"/>
        <v>0.88199680026166638</v>
      </c>
    </row>
    <row r="5" spans="1:23" s="2" customFormat="1">
      <c r="A5" s="1" t="s">
        <v>26</v>
      </c>
      <c r="B5" s="1">
        <v>0</v>
      </c>
      <c r="C5" s="13">
        <v>50</v>
      </c>
      <c r="D5" s="2">
        <v>3.5030000000000001</v>
      </c>
      <c r="E5" s="2">
        <v>121.77850000000001</v>
      </c>
      <c r="F5" s="9">
        <v>33</v>
      </c>
      <c r="G5" s="2">
        <v>88.778500000000008</v>
      </c>
      <c r="H5" s="8">
        <v>1E-3</v>
      </c>
      <c r="I5" s="6">
        <v>15.406658711217185</v>
      </c>
      <c r="J5" s="3">
        <f t="shared" si="0"/>
        <v>3.9183953595367596E-2</v>
      </c>
      <c r="K5" s="3">
        <f t="shared" si="1"/>
        <v>4.4782923410528414E-3</v>
      </c>
      <c r="L5" s="3">
        <f>$B$7/C5*SQRT(100/$B$7)/100</f>
        <v>3.7416573867739417E-2</v>
      </c>
      <c r="M5" s="10">
        <v>3.5120454545454547</v>
      </c>
      <c r="N5" s="10">
        <v>0.70079545454545489</v>
      </c>
      <c r="O5" s="8">
        <v>28</v>
      </c>
      <c r="P5" s="11">
        <v>8.6741991806729146</v>
      </c>
      <c r="Q5" s="11">
        <v>3.5810110132746176</v>
      </c>
      <c r="R5" s="12">
        <v>5217.3112279139514</v>
      </c>
      <c r="S5" s="12">
        <f t="shared" si="2"/>
        <v>21843.838649030131</v>
      </c>
      <c r="T5" s="3">
        <f t="shared" si="3"/>
        <v>2.4533768522810085E-3</v>
      </c>
      <c r="U5" s="3">
        <f t="shared" si="4"/>
        <v>3.1633394213447961E-3</v>
      </c>
      <c r="V5" s="3">
        <f t="shared" si="5"/>
        <v>4.9763367851648289E-2</v>
      </c>
      <c r="W5" s="4">
        <f t="shared" si="6"/>
        <v>0.86354109607056606</v>
      </c>
    </row>
    <row r="6" spans="1:23" s="2" customFormat="1">
      <c r="C6" s="13">
        <v>328.32799999999997</v>
      </c>
      <c r="D6" s="2">
        <v>3.9609999999999999</v>
      </c>
      <c r="E6" s="2">
        <v>121.249</v>
      </c>
      <c r="F6" s="9">
        <v>33</v>
      </c>
      <c r="G6" s="2">
        <v>88.248999999999995</v>
      </c>
      <c r="H6" s="8">
        <v>1E-3</v>
      </c>
      <c r="I6" s="6">
        <v>15.002219570405726</v>
      </c>
      <c r="J6" s="3">
        <f t="shared" si="0"/>
        <v>4.0000294435350067E-2</v>
      </c>
      <c r="K6" s="3">
        <f t="shared" si="1"/>
        <v>4.5990128769497216E-3</v>
      </c>
      <c r="L6" s="3">
        <f t="shared" ref="L6:L18" si="7">$B$7/C6*SQRT(100/$B$7)/100</f>
        <v>5.6980479684552365E-3</v>
      </c>
      <c r="M6" s="10">
        <v>3.5120454545454547</v>
      </c>
      <c r="N6" s="10">
        <v>0.70079545454545489</v>
      </c>
      <c r="O6" s="8">
        <v>28</v>
      </c>
      <c r="P6" s="11">
        <v>8.6741991806729146</v>
      </c>
      <c r="Q6" s="11">
        <v>3.5810110132746176</v>
      </c>
      <c r="R6" s="12">
        <v>5217.3112279139514</v>
      </c>
      <c r="S6" s="12">
        <f t="shared" si="2"/>
        <v>21843.838649030131</v>
      </c>
      <c r="T6" s="3">
        <f t="shared" si="3"/>
        <v>2.4533768522810085E-3</v>
      </c>
      <c r="U6" s="3">
        <f t="shared" si="4"/>
        <v>3.1633394213447961E-3</v>
      </c>
      <c r="V6" s="3">
        <f t="shared" si="5"/>
        <v>4.9744727539393623E-2</v>
      </c>
      <c r="W6" s="4">
        <f t="shared" si="6"/>
        <v>0.8943412009062256</v>
      </c>
    </row>
    <row r="7" spans="1:23" s="2" customFormat="1">
      <c r="A7" s="2" t="s">
        <v>27</v>
      </c>
      <c r="B7" s="2">
        <v>350</v>
      </c>
      <c r="C7" s="13">
        <v>337.75</v>
      </c>
      <c r="D7" s="2">
        <v>3.9609999999999999</v>
      </c>
      <c r="E7" s="2">
        <v>120.71899999999999</v>
      </c>
      <c r="F7" s="9">
        <v>33</v>
      </c>
      <c r="G7" s="2">
        <v>87.718999999999994</v>
      </c>
      <c r="H7" s="8">
        <v>1E-3</v>
      </c>
      <c r="I7" s="6">
        <v>15.002219570405726</v>
      </c>
      <c r="J7" s="3">
        <f t="shared" si="0"/>
        <v>3.9760063316008933E-2</v>
      </c>
      <c r="K7" s="3">
        <f t="shared" si="1"/>
        <v>4.5990128769497216E-3</v>
      </c>
      <c r="L7" s="3">
        <f t="shared" si="7"/>
        <v>5.539093096630557E-3</v>
      </c>
      <c r="M7" s="10">
        <v>3.5120454545454547</v>
      </c>
      <c r="N7" s="10">
        <v>0.70079545454545489</v>
      </c>
      <c r="O7" s="8">
        <v>28</v>
      </c>
      <c r="P7" s="11">
        <v>8.6741991806729146</v>
      </c>
      <c r="Q7" s="11">
        <v>3.5810110132746176</v>
      </c>
      <c r="R7" s="12">
        <v>5217.3112279139514</v>
      </c>
      <c r="S7" s="12">
        <f t="shared" si="2"/>
        <v>21843.838649030131</v>
      </c>
      <c r="T7" s="3">
        <f t="shared" si="3"/>
        <v>2.4533768522810085E-3</v>
      </c>
      <c r="U7" s="3">
        <f t="shared" si="4"/>
        <v>3.1633394213447961E-3</v>
      </c>
      <c r="V7" s="3">
        <f t="shared" si="5"/>
        <v>4.972606962533322E-2</v>
      </c>
      <c r="W7" s="4">
        <f t="shared" si="6"/>
        <v>0.89475904481145174</v>
      </c>
    </row>
    <row r="8" spans="1:23" s="2" customFormat="1">
      <c r="C8" s="13">
        <v>331.63600000000002</v>
      </c>
      <c r="D8" s="2">
        <v>3.9609999999999999</v>
      </c>
      <c r="E8" s="2">
        <v>120.18899999999999</v>
      </c>
      <c r="F8" s="9">
        <v>33</v>
      </c>
      <c r="G8" s="2">
        <v>87.188999999999993</v>
      </c>
      <c r="H8" s="8">
        <v>1E-3</v>
      </c>
      <c r="I8" s="6">
        <v>15.002219570405726</v>
      </c>
      <c r="J8" s="3">
        <f t="shared" si="0"/>
        <v>3.9519832196667798E-2</v>
      </c>
      <c r="K8" s="3">
        <f t="shared" si="1"/>
        <v>4.5990128769497216E-3</v>
      </c>
      <c r="L8" s="3">
        <f t="shared" si="7"/>
        <v>5.6412111272207202E-3</v>
      </c>
      <c r="M8" s="10">
        <v>3.5120454545454547</v>
      </c>
      <c r="N8" s="10">
        <v>0.70079545454545489</v>
      </c>
      <c r="O8" s="8">
        <v>28</v>
      </c>
      <c r="P8" s="11">
        <v>8.6741991806729146</v>
      </c>
      <c r="Q8" s="11">
        <v>3.5810110132746176</v>
      </c>
      <c r="R8" s="12">
        <v>5217.3112279139514</v>
      </c>
      <c r="S8" s="12">
        <f t="shared" si="2"/>
        <v>21843.838649030131</v>
      </c>
      <c r="T8" s="3">
        <f t="shared" si="3"/>
        <v>2.4533768522810085E-3</v>
      </c>
      <c r="U8" s="3">
        <f t="shared" si="4"/>
        <v>3.1633394213447961E-3</v>
      </c>
      <c r="V8" s="3">
        <f t="shared" si="5"/>
        <v>4.9707411711272832E-2</v>
      </c>
      <c r="W8" s="4">
        <f t="shared" si="6"/>
        <v>0.89491581581426316</v>
      </c>
    </row>
    <row r="9" spans="1:23">
      <c r="C9" s="13">
        <v>319.73599999999999</v>
      </c>
      <c r="D9" s="2">
        <v>3.9609999999999999</v>
      </c>
      <c r="E9" s="2">
        <v>119.12950000000001</v>
      </c>
      <c r="F9" s="9">
        <v>33</v>
      </c>
      <c r="G9" s="2">
        <v>86.129500000000007</v>
      </c>
      <c r="H9" s="8">
        <v>1E-3</v>
      </c>
      <c r="I9" s="6">
        <v>15.002219570405726</v>
      </c>
      <c r="J9" s="3">
        <f t="shared" si="0"/>
        <v>3.9039596591116998E-2</v>
      </c>
      <c r="K9" s="3">
        <f t="shared" si="1"/>
        <v>4.5990128769497216E-3</v>
      </c>
      <c r="L9" s="3">
        <f t="shared" si="7"/>
        <v>5.8511668795098795E-3</v>
      </c>
      <c r="M9" s="10">
        <v>3.5120454545454547</v>
      </c>
      <c r="N9" s="10">
        <v>0.70079545454545489</v>
      </c>
      <c r="O9" s="8">
        <v>28</v>
      </c>
      <c r="P9" s="11">
        <v>8.6741991806729146</v>
      </c>
      <c r="Q9" s="11">
        <v>3.5810110132746176</v>
      </c>
      <c r="R9" s="12">
        <v>5217.3112279139514</v>
      </c>
      <c r="S9" s="12">
        <f t="shared" si="2"/>
        <v>21843.838649030131</v>
      </c>
      <c r="T9" s="3">
        <f t="shared" si="3"/>
        <v>2.4533768522810085E-3</v>
      </c>
      <c r="U9" s="3">
        <f t="shared" si="4"/>
        <v>3.1633394213447961E-3</v>
      </c>
      <c r="V9" s="3">
        <f t="shared" si="5"/>
        <v>4.967011348495777E-2</v>
      </c>
      <c r="W9" s="4">
        <f t="shared" si="6"/>
        <v>0.89522339389383976</v>
      </c>
    </row>
    <row r="10" spans="1:23">
      <c r="C10" s="13">
        <v>327.04599999999999</v>
      </c>
      <c r="D10" s="2">
        <v>3.9609999999999999</v>
      </c>
      <c r="E10" s="2">
        <v>119.12950000000001</v>
      </c>
      <c r="F10" s="9">
        <v>33</v>
      </c>
      <c r="G10" s="2">
        <v>86.129500000000007</v>
      </c>
      <c r="H10" s="8">
        <v>1E-3</v>
      </c>
      <c r="I10" s="6">
        <v>15.002219570405726</v>
      </c>
      <c r="J10" s="3">
        <f t="shared" si="0"/>
        <v>3.9039596591116998E-2</v>
      </c>
      <c r="K10" s="3">
        <f t="shared" si="1"/>
        <v>4.5990128769497216E-3</v>
      </c>
      <c r="L10" s="3">
        <f t="shared" si="7"/>
        <v>5.7203839624608488E-3</v>
      </c>
      <c r="M10" s="10">
        <v>3.5120454545454547</v>
      </c>
      <c r="N10" s="10">
        <v>0.70079545454545489</v>
      </c>
      <c r="O10" s="8">
        <v>28</v>
      </c>
      <c r="P10" s="11">
        <v>8.6741991806729146</v>
      </c>
      <c r="Q10" s="11">
        <v>3.5810110132746176</v>
      </c>
      <c r="R10" s="12">
        <v>5217.3112279139514</v>
      </c>
      <c r="S10" s="12">
        <f t="shared" si="2"/>
        <v>21843.838649030131</v>
      </c>
      <c r="T10" s="3">
        <f t="shared" si="3"/>
        <v>2.4533768522810085E-3</v>
      </c>
      <c r="U10" s="3">
        <f t="shared" si="4"/>
        <v>3.1633394213447961E-3</v>
      </c>
      <c r="V10" s="3">
        <f t="shared" si="5"/>
        <v>4.967011348495777E-2</v>
      </c>
      <c r="W10" s="4">
        <f t="shared" si="6"/>
        <v>0.8953541768108888</v>
      </c>
    </row>
    <row r="11" spans="1:23">
      <c r="A11" s="26"/>
      <c r="B11" s="26"/>
      <c r="C11" s="13">
        <v>325.61799999999999</v>
      </c>
      <c r="D11" s="2">
        <v>3.9609999999999999</v>
      </c>
      <c r="E11" s="2">
        <v>118.59950000000001</v>
      </c>
      <c r="F11" s="9">
        <v>33</v>
      </c>
      <c r="G11" s="2">
        <v>85.599500000000006</v>
      </c>
      <c r="H11" s="8">
        <v>1E-3</v>
      </c>
      <c r="I11" s="6">
        <v>15.002219570405726</v>
      </c>
      <c r="J11" s="3">
        <f t="shared" si="0"/>
        <v>3.8799365471775864E-2</v>
      </c>
      <c r="K11" s="3">
        <f t="shared" si="1"/>
        <v>4.5990128769497216E-3</v>
      </c>
      <c r="L11" s="3">
        <f t="shared" si="7"/>
        <v>5.7454707460489621E-3</v>
      </c>
      <c r="M11" s="10">
        <v>3.5120454545454547</v>
      </c>
      <c r="N11" s="10">
        <v>0.70079545454545489</v>
      </c>
      <c r="O11" s="8">
        <v>28</v>
      </c>
      <c r="P11" s="11">
        <v>8.6741991806729146</v>
      </c>
      <c r="Q11" s="11">
        <v>3.5810110132746176</v>
      </c>
      <c r="R11" s="12">
        <v>5217.3112279139514</v>
      </c>
      <c r="S11" s="12">
        <f t="shared" si="2"/>
        <v>21843.838649030131</v>
      </c>
      <c r="T11" s="3">
        <f t="shared" si="3"/>
        <v>2.4533768522810085E-3</v>
      </c>
      <c r="U11" s="3">
        <f t="shared" si="4"/>
        <v>3.1633394213447961E-3</v>
      </c>
      <c r="V11" s="3">
        <f t="shared" si="5"/>
        <v>4.9651455570897382E-2</v>
      </c>
      <c r="W11" s="4">
        <f t="shared" si="6"/>
        <v>0.89558797906070231</v>
      </c>
    </row>
    <row r="12" spans="1:23">
      <c r="A12" s="23"/>
      <c r="B12" s="24"/>
      <c r="C12" s="13">
        <v>326.61699999999996</v>
      </c>
      <c r="D12" s="2">
        <v>3.754</v>
      </c>
      <c r="E12" s="2">
        <v>118.06950000000001</v>
      </c>
      <c r="F12" s="9">
        <v>33</v>
      </c>
      <c r="G12" s="2">
        <v>85.069500000000005</v>
      </c>
      <c r="H12" s="8">
        <v>1E-3</v>
      </c>
      <c r="I12" s="6">
        <v>15.185011933174223</v>
      </c>
      <c r="J12" s="3">
        <f t="shared" si="0"/>
        <v>3.8094971709322724E-2</v>
      </c>
      <c r="K12" s="3">
        <f t="shared" si="1"/>
        <v>4.5436550625426401E-3</v>
      </c>
      <c r="L12" s="3">
        <f t="shared" si="7"/>
        <v>5.7278974866187948E-3</v>
      </c>
      <c r="M12" s="10">
        <v>3.5120454545454547</v>
      </c>
      <c r="N12" s="10">
        <v>0.70079545454545489</v>
      </c>
      <c r="O12" s="8">
        <v>28</v>
      </c>
      <c r="P12" s="11">
        <v>8.6741991806729146</v>
      </c>
      <c r="Q12" s="11">
        <v>3.5810110132746176</v>
      </c>
      <c r="R12" s="12">
        <v>5217.3112279139514</v>
      </c>
      <c r="S12" s="12">
        <f t="shared" si="2"/>
        <v>21843.838649030131</v>
      </c>
      <c r="T12" s="3">
        <f t="shared" si="3"/>
        <v>2.4533768522810085E-3</v>
      </c>
      <c r="U12" s="3">
        <f t="shared" si="4"/>
        <v>3.1633394213447961E-3</v>
      </c>
      <c r="V12" s="3">
        <f t="shared" si="5"/>
        <v>4.9632797656836994E-2</v>
      </c>
      <c r="W12" s="4">
        <f t="shared" si="6"/>
        <v>0.89638396181105295</v>
      </c>
    </row>
    <row r="13" spans="1:23">
      <c r="A13" s="23"/>
      <c r="B13" s="24"/>
      <c r="C13" s="13">
        <v>322.28899999999999</v>
      </c>
      <c r="D13" s="2">
        <v>3.754</v>
      </c>
      <c r="E13" s="2">
        <v>118.017</v>
      </c>
      <c r="F13" s="9">
        <v>33</v>
      </c>
      <c r="G13" s="2">
        <v>85.016999999999996</v>
      </c>
      <c r="H13" s="8">
        <v>1E-3</v>
      </c>
      <c r="I13" s="6">
        <v>15.185011933174223</v>
      </c>
      <c r="J13" s="3">
        <f t="shared" si="0"/>
        <v>3.8071461684992737E-2</v>
      </c>
      <c r="K13" s="3">
        <f t="shared" si="1"/>
        <v>4.5436550625426401E-3</v>
      </c>
      <c r="L13" s="3">
        <f t="shared" si="7"/>
        <v>5.8048170846258197E-3</v>
      </c>
      <c r="M13" s="10">
        <v>3.5120454545454547</v>
      </c>
      <c r="N13" s="10">
        <v>0.70079545454545489</v>
      </c>
      <c r="O13" s="8">
        <v>28</v>
      </c>
      <c r="P13" s="11">
        <v>8.6741991806729146</v>
      </c>
      <c r="Q13" s="11">
        <v>3.5810110132746176</v>
      </c>
      <c r="R13" s="12">
        <v>5217.3112279139514</v>
      </c>
      <c r="S13" s="12">
        <f t="shared" si="2"/>
        <v>21843.838649030131</v>
      </c>
      <c r="T13" s="3">
        <f t="shared" si="3"/>
        <v>2.4533768522810085E-3</v>
      </c>
      <c r="U13" s="3">
        <f t="shared" si="4"/>
        <v>3.1633394213447961E-3</v>
      </c>
      <c r="V13" s="3">
        <f t="shared" si="5"/>
        <v>4.9630949467236667E-2</v>
      </c>
      <c r="W13" s="4">
        <f t="shared" si="6"/>
        <v>0.89633240042697637</v>
      </c>
    </row>
    <row r="14" spans="1:23">
      <c r="A14" s="23"/>
      <c r="B14" s="24"/>
      <c r="C14" s="13">
        <v>311.80500000000001</v>
      </c>
      <c r="D14" s="2">
        <v>3.754</v>
      </c>
      <c r="E14" s="2">
        <v>118.017</v>
      </c>
      <c r="F14" s="9">
        <v>33</v>
      </c>
      <c r="G14" s="2">
        <v>85.016999999999996</v>
      </c>
      <c r="H14" s="8">
        <v>1E-3</v>
      </c>
      <c r="I14" s="6">
        <v>15.185011933174223</v>
      </c>
      <c r="J14" s="3">
        <f t="shared" si="0"/>
        <v>3.8071461684992737E-2</v>
      </c>
      <c r="K14" s="3">
        <f t="shared" si="1"/>
        <v>4.5436550625426401E-3</v>
      </c>
      <c r="L14" s="3">
        <f t="shared" si="7"/>
        <v>5.9999958095186753E-3</v>
      </c>
      <c r="M14" s="10">
        <v>3.5120454545454547</v>
      </c>
      <c r="N14" s="10">
        <v>0.70079545454545489</v>
      </c>
      <c r="O14" s="8">
        <v>28</v>
      </c>
      <c r="P14" s="11">
        <v>8.6741991806729146</v>
      </c>
      <c r="Q14" s="11">
        <v>3.5810110132746176</v>
      </c>
      <c r="R14" s="12">
        <v>5217.3112279139514</v>
      </c>
      <c r="S14" s="12">
        <f t="shared" si="2"/>
        <v>21843.838649030131</v>
      </c>
      <c r="T14" s="3">
        <f t="shared" si="3"/>
        <v>2.4533768522810085E-3</v>
      </c>
      <c r="U14" s="3">
        <f t="shared" si="4"/>
        <v>3.1633394213447961E-3</v>
      </c>
      <c r="V14" s="3">
        <f t="shared" si="5"/>
        <v>4.9630949467236667E-2</v>
      </c>
      <c r="W14" s="4">
        <f t="shared" si="6"/>
        <v>0.89613722170208343</v>
      </c>
    </row>
    <row r="15" spans="1:23">
      <c r="A15" s="23"/>
      <c r="B15" s="24"/>
      <c r="C15" s="13">
        <v>305.84800000000001</v>
      </c>
      <c r="D15" s="2">
        <v>3.754</v>
      </c>
      <c r="E15" s="2">
        <v>118.017</v>
      </c>
      <c r="F15" s="9">
        <v>33</v>
      </c>
      <c r="G15" s="2">
        <v>85.016999999999996</v>
      </c>
      <c r="H15" s="8">
        <v>1E-3</v>
      </c>
      <c r="I15" s="6">
        <v>15.185011933174223</v>
      </c>
      <c r="J15" s="3">
        <f t="shared" si="0"/>
        <v>3.8071461684992737E-2</v>
      </c>
      <c r="K15" s="3">
        <f t="shared" si="1"/>
        <v>4.5436550625426401E-3</v>
      </c>
      <c r="L15" s="3">
        <f t="shared" si="7"/>
        <v>6.1168576985527797E-3</v>
      </c>
      <c r="M15" s="10">
        <v>3.5120454545454547</v>
      </c>
      <c r="N15" s="10">
        <v>0.70079545454545489</v>
      </c>
      <c r="O15" s="8">
        <v>28</v>
      </c>
      <c r="P15" s="11">
        <v>8.6741991806729146</v>
      </c>
      <c r="Q15" s="11">
        <v>3.5810110132746176</v>
      </c>
      <c r="R15" s="12">
        <v>5217.3112279139514</v>
      </c>
      <c r="S15" s="12">
        <f t="shared" si="2"/>
        <v>21843.838649030131</v>
      </c>
      <c r="T15" s="3">
        <f t="shared" si="3"/>
        <v>2.4533768522810085E-3</v>
      </c>
      <c r="U15" s="3">
        <f t="shared" si="4"/>
        <v>3.1633394213447961E-3</v>
      </c>
      <c r="V15" s="3">
        <f t="shared" si="5"/>
        <v>4.9630949467236667E-2</v>
      </c>
      <c r="W15" s="4">
        <f t="shared" si="6"/>
        <v>0.89602035981304939</v>
      </c>
    </row>
    <row r="16" spans="1:23">
      <c r="A16" s="23"/>
      <c r="B16" s="24"/>
      <c r="C16" s="13">
        <v>312.851</v>
      </c>
      <c r="D16" s="2">
        <v>3.754</v>
      </c>
      <c r="E16" s="2">
        <v>118.017</v>
      </c>
      <c r="F16" s="9">
        <v>33</v>
      </c>
      <c r="G16" s="2">
        <v>85.016999999999996</v>
      </c>
      <c r="H16" s="8">
        <v>1E-3</v>
      </c>
      <c r="I16" s="6">
        <v>15.185011933174223</v>
      </c>
      <c r="J16" s="3">
        <f t="shared" si="0"/>
        <v>3.8071461684992737E-2</v>
      </c>
      <c r="K16" s="3">
        <f t="shared" si="1"/>
        <v>4.5436550625426401E-3</v>
      </c>
      <c r="L16" s="3">
        <f t="shared" si="7"/>
        <v>5.9799351556714562E-3</v>
      </c>
      <c r="M16" s="10">
        <v>3.5120454545454547</v>
      </c>
      <c r="N16" s="10">
        <v>0.70079545454545489</v>
      </c>
      <c r="O16" s="8">
        <v>28</v>
      </c>
      <c r="P16" s="11">
        <v>8.6741991806729146</v>
      </c>
      <c r="Q16" s="11">
        <v>3.5810110132746176</v>
      </c>
      <c r="R16" s="12">
        <v>5217.3112279139514</v>
      </c>
      <c r="S16" s="12">
        <f t="shared" si="2"/>
        <v>21843.838649030131</v>
      </c>
      <c r="T16" s="3">
        <f t="shared" si="3"/>
        <v>2.4533768522810085E-3</v>
      </c>
      <c r="U16" s="3">
        <f t="shared" si="4"/>
        <v>3.1633394213447961E-3</v>
      </c>
      <c r="V16" s="3">
        <f t="shared" si="5"/>
        <v>4.9630949467236667E-2</v>
      </c>
      <c r="W16" s="4">
        <f t="shared" si="6"/>
        <v>0.89615728235593073</v>
      </c>
    </row>
    <row r="17" spans="1:23">
      <c r="A17" s="23"/>
      <c r="B17" s="24"/>
      <c r="C17" s="13">
        <v>308.423</v>
      </c>
      <c r="D17" s="2">
        <v>3.754</v>
      </c>
      <c r="E17" s="2">
        <v>118.017</v>
      </c>
      <c r="F17" s="9">
        <v>33</v>
      </c>
      <c r="G17" s="2">
        <v>85.016999999999996</v>
      </c>
      <c r="H17" s="8">
        <v>1E-3</v>
      </c>
      <c r="I17" s="6">
        <v>15.185011933174223</v>
      </c>
      <c r="J17" s="3">
        <f t="shared" si="0"/>
        <v>3.8071461684992737E-2</v>
      </c>
      <c r="K17" s="3">
        <f t="shared" si="1"/>
        <v>4.5436550625426401E-3</v>
      </c>
      <c r="L17" s="3">
        <f t="shared" si="7"/>
        <v>6.0657885222145259E-3</v>
      </c>
      <c r="M17" s="10">
        <v>3.5120454545454547</v>
      </c>
      <c r="N17" s="10">
        <v>0.70079545454545489</v>
      </c>
      <c r="O17" s="8">
        <v>28</v>
      </c>
      <c r="P17" s="11">
        <v>8.6741991806729146</v>
      </c>
      <c r="Q17" s="11">
        <v>3.5810110132746176</v>
      </c>
      <c r="R17" s="12">
        <v>5217.3112279139514</v>
      </c>
      <c r="S17" s="12">
        <f t="shared" si="2"/>
        <v>21843.838649030131</v>
      </c>
      <c r="T17" s="3">
        <f t="shared" si="3"/>
        <v>2.4533768522810085E-3</v>
      </c>
      <c r="U17" s="3">
        <f t="shared" si="4"/>
        <v>3.1633394213447961E-3</v>
      </c>
      <c r="V17" s="3">
        <f t="shared" si="5"/>
        <v>4.9630949467236667E-2</v>
      </c>
      <c r="W17" s="4">
        <f t="shared" si="6"/>
        <v>0.89607142898938763</v>
      </c>
    </row>
    <row r="18" spans="1:23">
      <c r="A18" s="23"/>
      <c r="B18" s="24"/>
      <c r="C18" s="13">
        <v>311.60699999999997</v>
      </c>
      <c r="D18" s="2">
        <v>3.7410000000000001</v>
      </c>
      <c r="E18" s="2">
        <v>118.017</v>
      </c>
      <c r="F18" s="9">
        <v>33</v>
      </c>
      <c r="G18" s="2">
        <v>85.016999999999996</v>
      </c>
      <c r="H18" s="8">
        <v>1E-3</v>
      </c>
      <c r="I18" s="6">
        <v>15.196491646778043</v>
      </c>
      <c r="J18" s="3">
        <f t="shared" si="0"/>
        <v>3.8042701791802844E-2</v>
      </c>
      <c r="K18" s="3">
        <f t="shared" si="1"/>
        <v>4.5402229265004016E-3</v>
      </c>
      <c r="L18" s="3">
        <f t="shared" si="7"/>
        <v>6.003808301440503E-3</v>
      </c>
      <c r="M18" s="10">
        <v>3.5120454545454547</v>
      </c>
      <c r="N18" s="10">
        <v>0.70079545454545489</v>
      </c>
      <c r="O18" s="8">
        <v>28</v>
      </c>
      <c r="P18" s="11">
        <v>8.6741991806729146</v>
      </c>
      <c r="Q18" s="11">
        <v>3.5810110132746176</v>
      </c>
      <c r="R18" s="12">
        <v>5217.3112279139514</v>
      </c>
      <c r="S18" s="12">
        <f t="shared" si="2"/>
        <v>21843.838649030131</v>
      </c>
      <c r="T18" s="3">
        <f t="shared" si="3"/>
        <v>2.4533768522810085E-3</v>
      </c>
      <c r="U18" s="3">
        <f t="shared" si="4"/>
        <v>3.1633394213447961E-3</v>
      </c>
      <c r="V18" s="3">
        <f t="shared" si="5"/>
        <v>4.9630949467236667E-2</v>
      </c>
      <c r="W18" s="4">
        <f t="shared" si="6"/>
        <v>0.89616560123939382</v>
      </c>
    </row>
  </sheetData>
  <mergeCells count="2">
    <mergeCell ref="A1:B1"/>
    <mergeCell ref="A11:B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7D8273FF79F254A9F3E8FC6E4CE0A40" ma:contentTypeVersion="3" ma:contentTypeDescription="Utwórz nowy dokument." ma:contentTypeScope="" ma:versionID="548690613054facacf0d8ad76863602f">
  <xsd:schema xmlns:xsd="http://www.w3.org/2001/XMLSchema" xmlns:xs="http://www.w3.org/2001/XMLSchema" xmlns:p="http://schemas.microsoft.com/office/2006/metadata/properties" xmlns:ns2="ff1bd0dd-da00-48b4-8503-c49ef6f43dd0" targetNamespace="http://schemas.microsoft.com/office/2006/metadata/properties" ma:root="true" ma:fieldsID="f6f21a785b5a21e5e8c74a0369040cee" ns2:_="">
    <xsd:import namespace="ff1bd0dd-da00-48b4-8503-c49ef6f43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bd0dd-da00-48b4-8503-c49ef6f43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71CE08-850F-45AE-9456-0B60DF200749}"/>
</file>

<file path=customXml/itemProps2.xml><?xml version="1.0" encoding="utf-8"?>
<ds:datastoreItem xmlns:ds="http://schemas.openxmlformats.org/officeDocument/2006/customXml" ds:itemID="{5A4CAC0B-8C3C-4B83-AE25-3E72C302E241}"/>
</file>

<file path=customXml/itemProps3.xml><?xml version="1.0" encoding="utf-8"?>
<ds:datastoreItem xmlns:ds="http://schemas.openxmlformats.org/officeDocument/2006/customXml" ds:itemID="{153901DB-73CD-43CB-ABB1-E12602D601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297648</dc:creator>
  <cp:keywords/>
  <dc:description/>
  <cp:lastModifiedBy>Żebrecki Julian (STUD)</cp:lastModifiedBy>
  <cp:revision/>
  <dcterms:created xsi:type="dcterms:W3CDTF">2014-12-23T07:26:55Z</dcterms:created>
  <dcterms:modified xsi:type="dcterms:W3CDTF">2026-05-25T19:50:19Z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0x01010027D8273FF79F254A9F3E8FC6E4CE0A40</vt:lpwstr>
  </property>
</Properties>
</file>